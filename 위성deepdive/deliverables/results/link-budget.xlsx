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e5d928e52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4fa57a04054b4b"/>
    <x:sheet xmlns:r="http://schemas.openxmlformats.org/officeDocument/2006/relationships" name="Link Budget" sheetId="2" r:id="Rcaf74f921c80407c"/>
    <x:sheet xmlns:r="http://schemas.openxmlformats.org/officeDocument/2006/relationships" name="Sources" sheetId="3" r:id="Raf1d6630eacc4a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6">
    <x:font>
      <x:sz val="11"/>
      <x:name val="Carlito"/>
    </x:font>
    <x:font>
      <x:sz val="10"/>
      <x:color rgb="FF1F2933"/>
      <x:name val="Arial"/>
    </x:font>
    <x:font>
      <x:b/>
      <x:sz val="15"/>
      <x:color rgb="FF243447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2434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6566F"/>
      </x:patternFill>
    </x:fill>
    <x:fill>
      <x:patternFill patternType="solid">
        <x:fgColor rgb="FFFFF2CC"/>
      </x:patternFill>
    </x:fill>
    <x:fill>
      <x:patternFill patternType="solid">
        <x:fgColor rgb="FFE8EEF3"/>
      </x:patternFill>
    </x:fill>
  </x:fills>
  <x:borders count="5">
    <x:border/>
    <x:border>
      <x:bottom style="thin">
        <x:color rgb="FF7F8C8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4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0a56b6ce8644ba" /><Relationship Type="http://schemas.openxmlformats.org/officeDocument/2006/relationships/theme" Target="/xl/theme/theme1.xml" Id="Re15f1a4482e44042" /><Relationship Type="http://schemas.openxmlformats.org/officeDocument/2006/relationships/sharedStrings" Target="/xl/sharedStrings.xml" Id="R772e1d6330254619" /><Relationship Type="http://schemas.openxmlformats.org/officeDocument/2006/relationships/worksheet" Target="/xl/worksheets/sheet1.xml" Id="R604fa57a04054b4b" /><Relationship Type="http://schemas.openxmlformats.org/officeDocument/2006/relationships/worksheet" Target="/xl/worksheets/sheet2.xml" Id="Rcaf74f921c80407c" /><Relationship Type="http://schemas.openxmlformats.org/officeDocument/2006/relationships/worksheet" Target="/xl/worksheets/sheet3.xml" Id="Raf1d6630eacc4a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447"/>
  </x:sheetPr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4" hidden="0" customWidth="1"/>
    <x:col min="4" max="4" width="24" hidden="0" customWidth="1"/>
    <x:col min="5" max="5" width="16" hidden="0" customWidth="1"/>
  </x:cols>
  <x:sheetData>
    <x:row r="1">
      <x:c r="A1" s="23"/>
      <x:c r="B1" s="23"/>
      <x:c r="C1" s="23"/>
      <x:c r="D1" s="23"/>
      <x:c r="E1" s="23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4" t="str">
        <x:v>링크 버짓 요약</x:v>
      </x:c>
      <x:c r="B2" s="24"/>
      <x:c r="C2" s="24"/>
      <x:c r="D2" s="24"/>
      <x:c r="E2" s="24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26"/>
      <x:c r="B3" s="26"/>
      <x:c r="C3" s="26"/>
      <x:c r="D3" s="26"/>
      <x:c r="E3" s="26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3" t="str">
        <x:v>핵심 지표</x:v>
      </x:c>
      <x:c r="B4" s="15" t="str">
        <x:v>결과</x:v>
      </x:c>
      <x:c r="C4" s="23"/>
      <x:c r="D4" s="13" t="str">
        <x:v>상태</x:v>
      </x:c>
      <x:c r="E4" s="15" t="str">
        <x:v>값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3" t="str">
        <x:v>EIRP (dBW)</x:v>
      </x:c>
      <x:c r="B5" s="28" t="n">
        <x:f>'Link Budget'!B18</x:f>
        <x:v>29</x:v>
      </x:c>
      <x:c r="C5" s="23"/>
      <x:c r="D5" s="23" t="str">
        <x:v>판정</x:v>
      </x:c>
      <x:c r="E5" s="23" t="str">
        <x:f>'Link Budget'!B25</x:f>
        <x:v>PASS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23" t="str">
        <x:v>FSPL (dB)</x:v>
      </x:c>
      <x:c r="B6" s="28" t="n">
        <x:f>'Link Budget'!B19</x:f>
        <x:v>174.24810222878796</x:v>
      </x:c>
      <x:c r="C6" s="23"/>
      <x:c r="D6" s="23" t="str">
        <x:v>검토 완료 항목</x:v>
      </x:c>
      <x:c r="E6" s="23" t="n">
        <x:f>COUNTIF('Link Budget'!F10:F16,"확인")</x:f>
        <x:v>0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3" t="str">
        <x:v>C/N0 (dB-Hz)</x:v>
      </x:c>
      <x:c r="B7" s="28" t="n">
        <x:f>'Link Budget'!B21</x:f>
        <x:v>78.36219772785185</x:v>
      </x:c>
      <x:c r="C7" s="23"/>
      <x:c r="D7" s="23" t="str">
        <x:v>남은 검토 항목</x:v>
      </x:c>
      <x:c r="E7" s="23" t="n">
        <x:f>COUNTIF('Link Budget'!F10:F16,"미입력")</x:f>
        <x:v>7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3" t="str">
        <x:v>Eb/N0 (dB)</x:v>
      </x:c>
      <x:c r="B8" s="28" t="n">
        <x:f>'Link Budget'!B22</x:f>
        <x:v>15.351897771212045</x:v>
      </x:c>
      <x:c r="C8" s="23"/>
      <x:c r="D8" s="23"/>
      <x:c r="E8" s="23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3" t="str">
        <x:v>링크 마진 (dB)</x:v>
      </x:c>
      <x:c r="B9" s="28" t="n">
        <x:f>'Link Budget'!B23</x:f>
        <x:v>10.351897771212045</x:v>
      </x:c>
      <x:c r="C9" s="23"/>
      <x:c r="D9" s="23"/>
      <x:c r="E9" s="23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3"/>
      <x:c r="B10" s="23"/>
      <x:c r="C10" s="23"/>
      <x:c r="D10" s="23"/>
      <x:c r="E10" s="23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23"/>
      <x:c r="B11" s="23"/>
      <x:c r="C11" s="23"/>
      <x:c r="D11" s="23"/>
      <x:c r="E11" s="23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32" t="str">
        <x:v>해석</x:v>
      </x:c>
      <x:c r="B12" s="32" t="str"/>
      <x:c r="C12" s="32" t="str"/>
      <x:c r="D12" s="32" t="str"/>
      <x:c r="E12" s="32" t="str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30" customHeight="1">
      <x:c r="A13" s="33" t="str">
        <x:v>링크 마진은 평균값이 아니라 worst-case와 요구 가용성에서 판정해야 합니다.</x:v>
      </x:c>
      <x:c r="B13" s="33" t="str"/>
      <x:c r="C13" s="33" t="str"/>
      <x:c r="D13" s="33" t="str"/>
      <x:c r="E13" s="33" t="str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30" customHeight="1">
      <x:c r="A14" s="33" t="str">
        <x:v>광 링크에는 FSPL 식 외에 aperture, pointing, optical train, detector와 cloud/turbulence 모델이 필요합니다.</x:v>
      </x:c>
      <x:c r="B14" s="33" t="str"/>
      <x:c r="C14" s="33" t="str"/>
      <x:c r="D14" s="33" t="str"/>
      <x:c r="E14" s="33" t="str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30" customHeight="1">
      <x:c r="A15" s="33" t="str">
        <x:v>입력값은 교육용 예시이며 실제 부품·궤도·규제 데이터로 교체해야 합니다.</x:v>
      </x:c>
      <x:c r="B15" s="33" t="str"/>
      <x:c r="C15" s="33" t="str"/>
      <x:c r="D15" s="33" t="str"/>
      <x:c r="E15" s="33" t="str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23"/>
      <x:c r="B16" s="23"/>
      <x:c r="C16" s="23"/>
      <x:c r="D16" s="23"/>
      <x:c r="E16" s="23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23"/>
      <x:c r="B17" s="23"/>
      <x:c r="C17" s="23"/>
      <x:c r="D17" s="23"/>
      <x:c r="E17" s="23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23"/>
      <x:c r="B18" s="23"/>
      <x:c r="C18" s="23"/>
      <x:c r="D18" s="23"/>
      <x:c r="E18" s="23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23"/>
      <x:c r="B19" s="23"/>
      <x:c r="C19" s="23"/>
      <x:c r="D19" s="23"/>
      <x:c r="E19" s="23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23"/>
      <x:c r="B20" s="23"/>
      <x:c r="C20" s="23"/>
      <x:c r="D20" s="23"/>
      <x:c r="E20" s="23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FA6C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12" hidden="0" customWidth="1"/>
    <x:col min="4" max="4" width="3" hidden="0" customWidth="1"/>
    <x:col min="5" max="5" width="29" hidden="0" customWidth="1"/>
    <x:col min="6" max="6" width="16" hidden="0" customWidth="1"/>
  </x:cols>
  <x:sheetData>
    <x:row r="1">
      <x:c r="A1" s="23"/>
      <x:c r="B1" s="23"/>
      <x:c r="C1" s="23"/>
      <x:c r="D1" s="23"/>
      <x:c r="E1" s="23"/>
      <x:c r="F1" s="23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4" t="str">
        <x:v>RF 링크 버짓 계산</x:v>
      </x:c>
      <x:c r="B2" s="24"/>
      <x:c r="C2" s="24"/>
      <x:c r="D2" s="24"/>
      <x:c r="E2" s="24"/>
      <x:c r="F2" s="24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25" t="str">
        <x:v>노란색 셀은 임무·부품 데이터로 교체해야 하는 입력값입니다.</x:v>
      </x:c>
      <x:c r="B3" s="26"/>
      <x:c r="C3" s="26"/>
      <x:c r="D3" s="26"/>
      <x:c r="E3" s="26"/>
      <x:c r="F3" s="26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3" t="str">
        <x:v>입력</x:v>
      </x:c>
      <x:c r="B4" s="14" t="str">
        <x:v>값</x:v>
      </x:c>
      <x:c r="C4" s="15" t="str">
        <x:v>단위</x:v>
      </x:c>
      <x:c r="D4" s="23"/>
      <x:c r="E4" s="13" t="str">
        <x:v>독립 확인</x:v>
      </x:c>
      <x:c r="F4" s="15" t="str">
        <x:v>값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3" t="str">
        <x:v>송신기 출력</x:v>
      </x:c>
      <x:c r="B5" s="27" t="n">
        <x:v>10</x:v>
      </x:c>
      <x:c r="C5" s="23" t="str">
        <x:v>dBW</x:v>
      </x:c>
      <x:c r="D5" s="23"/>
      <x:c r="E5" s="23" t="str">
        <x:v>거리 2배 FSPL 증가</x:v>
      </x:c>
      <x:c r="F5" s="28" t="n">
        <x:f>(92.45+20*LOG10(B8*2)+20*LOG10(B9))-B19</x:f>
        <x:v>6.020599913279568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23" t="str">
        <x:v>송신 계통 손실</x:v>
      </x:c>
      <x:c r="B6" s="27" t="n">
        <x:v>1</x:v>
      </x:c>
      <x:c r="C6" s="23" t="str">
        <x:v>dB</x:v>
      </x:c>
      <x:c r="D6" s="23"/>
      <x:c r="E6" s="23" t="str">
        <x:v>주파수 2배 FSPL 증가</x:v>
      </x:c>
      <x:c r="F6" s="28" t="n">
        <x:f>(92.45+20*LOG10(B8)+20*LOG10(B9*2))-B19</x:f>
        <x:v>6.0205999132796535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3" t="str">
        <x:v>송신 안테나 이득</x:v>
      </x:c>
      <x:c r="B7" s="27" t="n">
        <x:v>20</x:v>
      </x:c>
      <x:c r="C7" s="23" t="str">
        <x:v>dBi</x:v>
      </x:c>
      <x:c r="D7" s="23"/>
      <x:c r="E7" s="23" t="str">
        <x:v>비트율 2배 Eb/N0 변화</x:v>
      </x:c>
      <x:c r="F7" s="28" t="n">
        <x:f>(B21-10*LOG10(B13*2))-B22</x:f>
        <x:v>-3.010299956639791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3" t="str">
        <x:v>경로 거리</x:v>
      </x:c>
      <x:c r="B8" s="27" t="n">
        <x:v>1500</x:v>
      </x:c>
      <x:c r="C8" s="23" t="str">
        <x:v>km</x:v>
      </x:c>
      <x:c r="D8" s="23"/>
      <x:c r="E8" s="23"/>
      <x:c r="F8" s="23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3" t="str">
        <x:v>반송파 주파수</x:v>
      </x:c>
      <x:c r="B9" s="27" t="n">
        <x:v>8.2</x:v>
      </x:c>
      <x:c r="C9" s="23" t="str">
        <x:v>GHz</x:v>
      </x:c>
      <x:c r="D9" s="23"/>
      <x:c r="E9" s="13" t="str">
        <x:v>검토 항목</x:v>
      </x:c>
      <x:c r="F9" s="15" t="str">
        <x:v>확인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3" t="str">
        <x:v>수신 안테나 이득</x:v>
      </x:c>
      <x:c r="B10" s="27" t="n">
        <x:v>25</x:v>
      </x:c>
      <x:c r="C10" s="23" t="str">
        <x:v>dBi</x:v>
      </x:c>
      <x:c r="D10" s="23"/>
      <x:c r="E10" s="23" t="str">
        <x:v>거리 min/nominal/max</x:v>
      </x:c>
      <x:c r="F10" s="29" t="str">
        <x:v>미입력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23" t="str">
        <x:v>시스템 잡음 온도</x:v>
      </x:c>
      <x:c r="B11" s="27" t="n">
        <x:v>500</x:v>
      </x:c>
      <x:c r="C11" s="23" t="str">
        <x:v>K</x:v>
      </x:c>
      <x:c r="D11" s="23"/>
      <x:c r="E11" s="23" t="str">
        <x:v>pointing/polarization loss</x:v>
      </x:c>
      <x:c r="F11" s="29" t="str">
        <x:v>미입력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23" t="str">
        <x:v>기타 경로 손실</x:v>
      </x:c>
      <x:c r="B12" s="27" t="n">
        <x:v>3</x:v>
      </x:c>
      <x:c r="C12" s="23" t="str">
        <x:v>dB</x:v>
      </x:c>
      <x:c r="D12" s="23"/>
      <x:c r="E12" s="23" t="str">
        <x:v>온도·aging·제조 편차</x:v>
      </x:c>
      <x:c r="F12" s="29" t="str">
        <x:v>미입력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23" t="str">
        <x:v>정보 비트율</x:v>
      </x:c>
      <x:c r="B13" s="27" t="n">
        <x:v>2000000</x:v>
      </x:c>
      <x:c r="C13" s="23" t="str">
        <x:v>bit/s</x:v>
      </x:c>
      <x:c r="D13" s="23"/>
      <x:c r="E13" s="23" t="str">
        <x:v>요구 BER/PER와 code rate</x:v>
      </x:c>
      <x:c r="F13" s="29" t="str">
        <x:v>미입력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23" t="str">
        <x:v>요구 Eb/N0</x:v>
      </x:c>
      <x:c r="B14" s="27" t="n">
        <x:v>3</x:v>
      </x:c>
      <x:c r="C14" s="23" t="str">
        <x:v>dB</x:v>
      </x:c>
      <x:c r="D14" s="23"/>
      <x:c r="E14" s="23" t="str">
        <x:v>Doppler와 acquisition</x:v>
      </x:c>
      <x:c r="F14" s="29" t="str">
        <x:v>미입력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23" t="str">
        <x:v>구현 여유</x:v>
      </x:c>
      <x:c r="B15" s="27" t="n">
        <x:v>2</x:v>
      </x:c>
      <x:c r="C15" s="23" t="str">
        <x:v>dB</x:v>
      </x:c>
      <x:c r="D15" s="23"/>
      <x:c r="E15" s="23" t="str">
        <x:v>규제 EIRP/대역</x:v>
      </x:c>
      <x:c r="F15" s="29" t="str">
        <x:v>미입력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23"/>
      <x:c r="B16" s="23"/>
      <x:c r="C16" s="23"/>
      <x:c r="D16" s="23"/>
      <x:c r="E16" s="23" t="str">
        <x:v>가용성 percentile</x:v>
      </x:c>
      <x:c r="F16" s="29" t="str">
        <x:v>미입력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3" t="str">
        <x:v>계산 결과</x:v>
      </x:c>
      <x:c r="B17" s="14" t="str">
        <x:v>값</x:v>
      </x:c>
      <x:c r="C17" s="15" t="str">
        <x:v>단위</x:v>
      </x:c>
      <x:c r="D17" s="23"/>
      <x:c r="E17" s="23"/>
      <x:c r="F17" s="23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23" t="str">
        <x:v>EIRP</x:v>
      </x:c>
      <x:c r="B18" s="28" t="n">
        <x:f>B5-B6+B7</x:f>
        <x:v>29</x:v>
      </x:c>
      <x:c r="C18" s="23" t="str">
        <x:v>dBW</x:v>
      </x:c>
      <x:c r="D18" s="23"/>
      <x:c r="E18" s="23"/>
      <x:c r="F18" s="23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23" t="str">
        <x:v>FSPL</x:v>
      </x:c>
      <x:c r="B19" s="28" t="n">
        <x:f>92.45+20*LOG10(B8)+20*LOG10(B9)</x:f>
        <x:v>174.24810222878796</x:v>
      </x:c>
      <x:c r="C19" s="23" t="str">
        <x:v>dB</x:v>
      </x:c>
      <x:c r="D19" s="23"/>
      <x:c r="E19" s="23"/>
      <x:c r="F19" s="23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23" t="str">
        <x:v>G/T</x:v>
      </x:c>
      <x:c r="B20" s="28" t="n">
        <x:f>B10-10*LOG10(B11)</x:f>
        <x:v>-1.9897000433602017</x:v>
      </x:c>
      <x:c r="C20" s="23" t="str">
        <x:v>dB/K</x:v>
      </x:c>
      <x:c r="D20" s="23"/>
      <x:c r="E20" s="23"/>
      <x:c r="F20" s="23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23" t="str">
        <x:v>C/N0</x:v>
      </x:c>
      <x:c r="B21" s="28" t="n">
        <x:f>B18-B19-B12+B20+228.6</x:f>
        <x:v>78.36219772785185</x:v>
      </x:c>
      <x:c r="C21" s="23" t="str">
        <x:v>dB-Hz</x:v>
      </x:c>
      <x:c r="D21" s="23"/>
      <x:c r="E21" s="23"/>
      <x:c r="F21" s="23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23" t="str">
        <x:v>Eb/N0</x:v>
      </x:c>
      <x:c r="B22" s="28" t="n">
        <x:f>B21-10*LOG10(B13)</x:f>
        <x:v>15.351897771212045</x:v>
      </x:c>
      <x:c r="C22" s="23" t="str">
        <x:v>dB</x:v>
      </x:c>
      <x:c r="D22" s="23"/>
      <x:c r="E22" s="23"/>
      <x:c r="F22" s="23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30" t="str">
        <x:v>링크 마진</x:v>
      </x:c>
      <x:c r="B23" s="31" t="n">
        <x:f>B22-B14-B15</x:f>
        <x:v>10.351897771212045</x:v>
      </x:c>
      <x:c r="C23" s="30" t="str">
        <x:v>dB</x:v>
      </x:c>
      <x:c r="D23" s="23"/>
      <x:c r="E23" s="23"/>
      <x:c r="F23" s="23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30" t="str">
        <x:v>수신 전력</x:v>
      </x:c>
      <x:c r="B24" s="31" t="n">
        <x:f>B18-B19-B12+B10</x:f>
        <x:v>-123.24810222878796</x:v>
      </x:c>
      <x:c r="C24" s="30" t="str">
        <x:v>dBW</x:v>
      </x:c>
      <x:c r="D24" s="23"/>
      <x:c r="E24" s="23"/>
      <x:c r="F24" s="23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30" t="str">
        <x:v>판정</x:v>
      </x:c>
      <x:c r="B25" s="30" t="str">
        <x:f>IF(B23&gt;=3,"PASS","REVIEW")</x:f>
        <x:v>PASS</x:v>
      </x:c>
      <x:c r="C25" s="30" t="str"/>
      <x:c r="D25" s="23"/>
      <x:c r="E25" s="23"/>
      <x:c r="F25" s="23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23"/>
      <x:c r="B26" s="23"/>
      <x:c r="C26" s="23"/>
      <x:c r="D26" s="23"/>
      <x:c r="E26" s="23"/>
      <x:c r="F26" s="23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23"/>
      <x:c r="B27" s="23"/>
      <x:c r="C27" s="23"/>
      <x:c r="D27" s="23"/>
      <x:c r="E27" s="23"/>
      <x:c r="F27" s="23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23"/>
      <x:c r="B28" s="23"/>
      <x:c r="C28" s="23"/>
      <x:c r="D28" s="23"/>
      <x:c r="E28" s="23"/>
      <x:c r="F28" s="23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23"/>
      <x:c r="B29" s="23"/>
      <x:c r="C29" s="23"/>
      <x:c r="D29" s="23"/>
      <x:c r="E29" s="23"/>
      <x:c r="F29" s="23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23"/>
      <x:c r="B30" s="23"/>
      <x:c r="C30" s="23"/>
      <x:c r="D30" s="23"/>
      <x:c r="E30" s="23"/>
      <x:c r="F30" s="23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conditionalFormatting sqref="B23:B23">
    <x:cfRule type="cellIs" dxfId="0" priority="1" operator="greaterThanOrEqual">
      <x:formula>3</x:formula>
    </x:cfRule>
    <x:cfRule type="cellIs" dxfId="1" priority="2" operator="lessThan">
      <x:formula>3</x:formula>
    </x:cfRule>
  </x:conditionalFormatting>
  <x:conditionalFormatting sqref="B25:B25">
    <x:cfRule type="containsText" dxfId="2" priority="3" operator="containsText" text="REVIEW"/>
    <x:cfRule type="containsText" dxfId="3" priority="4" operator="containsText" text="PASS"/>
  </x:conditionalFormatting>
  <x:dataValidations count="1">
    <x:dataValidation type="list" sqref="F10:F16">
      <x:formula1>"미입력,확인,해당 없음"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70" hidden="0" customWidth="1"/>
  </x:cols>
  <x:sheetData>
    <x:row r="1">
      <x:c r="A1" s="23"/>
      <x:c r="B1" s="23"/>
      <x:c r="C1" s="23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4" t="str">
        <x:v>출처와 식</x:v>
      </x:c>
      <x:c r="B2" s="24"/>
      <x:c r="C2" s="24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26"/>
      <x:c r="B3" s="26"/>
      <x:c r="C3" s="26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3" t="str">
        <x:v>항목</x:v>
      </x:c>
      <x:c r="B4" s="14" t="str">
        <x:v>근거</x:v>
      </x:c>
      <x:c r="C4" s="15" t="str">
        <x:v>URL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8" customHeight="1">
      <x:c r="A5" s="33" t="str">
        <x:v>RF/FSO 설계 고려</x:v>
      </x:c>
      <x:c r="B5" s="33" t="str">
        <x:v>NASA Small Spacecraft Communications 2026</x:v>
      </x:c>
      <x:c r="C5" s="33" t="str">
        <x:v>https://www.nasa.gov/smallsat-institute/sst-soa/soa-communications/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8" customHeight="1">
      <x:c r="A6" s="33" t="str">
        <x:v>FSPL</x:v>
      </x:c>
      <x:c r="B6" s="33" t="str">
        <x:v>Friis 자유공간 식의 dB 표현</x:v>
      </x:c>
      <x:c r="C6" s="33" t="str">
        <x:v>https://www.itu.int/rec/R-REC-P.525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8" customHeight="1">
      <x:c r="A7" s="33" t="str">
        <x:v>C/N0와 Eb/N0</x:v>
      </x:c>
      <x:c r="B7" s="33" t="str">
        <x:v>표준 link-budget 관계식</x:v>
      </x:c>
      <x:c r="C7" s="33" t="str">
        <x:v>https://www.nasa.gov/directorates/somd/space-communications-navigation-program/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38" customHeight="1">
      <x:c r="A8" s="33" t="str">
        <x:v>주의</x:v>
      </x:c>
      <x:c r="B8" s="33" t="str">
        <x:v>모든 입력은 예시이며 mission ICD와 부품 시험값으로 교체</x:v>
      </x:c>
      <x:c r="C8" s="33" t="str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3"/>
      <x:c r="B9" s="23"/>
      <x:c r="C9" s="23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3"/>
      <x:c r="B10" s="23"/>
      <x:c r="C10" s="23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23"/>
      <x:c r="B11" s="23"/>
      <x:c r="C11" s="23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23"/>
      <x:c r="B12" s="23"/>
      <x:c r="C12" s="23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pageMargins left="0.7" right="0.7" top="0.75" bottom="0.75" header="0.3" footer="0.3"/>
</x:worksheet>
</file>