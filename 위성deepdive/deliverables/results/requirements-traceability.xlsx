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82000bf75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c2f12bf23c4ae6"/>
    <x:sheet xmlns:r="http://schemas.openxmlformats.org/officeDocument/2006/relationships" name="Traceability" sheetId="2" r:id="R0e67f06a05b343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sz val="10"/>
      <x:color rgb="FF1F2933"/>
      <x:name val="Arial"/>
    </x:font>
    <x:font>
      <x:b/>
      <x:sz val="15"/>
      <x:color rgb="FF243447"/>
      <x:name val="Arial"/>
    </x:font>
    <x:font>
      <x:b/>
      <x:sz val="10"/>
      <x:color rgb="FFFFFFFF"/>
      <x:name val="Arial"/>
    </x:font>
    <x:font>
      <x:b/>
      <x:sz val="10"/>
      <x:color rgb="FF2434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6566F"/>
      </x:patternFill>
    </x:fill>
    <x:fill>
      <x:patternFill patternType="solid">
        <x:fgColor rgb="FFFFF2CC"/>
      </x:patternFill>
    </x:fill>
    <x:fill>
      <x:patternFill patternType="solid">
        <x:fgColor rgb="FFE8EEF3"/>
      </x:patternFill>
    </x:fill>
  </x:fills>
  <x:borders count="5">
    <x:border/>
    <x:border>
      <x:bottom style="thin">
        <x:color rgb="FF7F8C8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0e2ba090e4083" /><Relationship Type="http://schemas.openxmlformats.org/officeDocument/2006/relationships/theme" Target="/xl/theme/theme1.xml" Id="R5bc9361259ca4a97" /><Relationship Type="http://schemas.openxmlformats.org/officeDocument/2006/relationships/sharedStrings" Target="/xl/sharedStrings.xml" Id="Rd5ca43872bb04fb1" /><Relationship Type="http://schemas.openxmlformats.org/officeDocument/2006/relationships/worksheet" Target="/xl/worksheets/sheet1.xml" Id="R4ec2f12bf23c4ae6" /><Relationship Type="http://schemas.openxmlformats.org/officeDocument/2006/relationships/worksheet" Target="/xl/worksheets/sheet2.xml" Id="R0e67f06a05b343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447"/>
  </x:sheetPr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4" hidden="0" customWidth="1"/>
    <x:col min="4" max="4" width="28" hidden="0" customWidth="1"/>
    <x:col min="5" max="5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요구사항 추적 현황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2" t="str">
        <x:v>지표</x:v>
      </x:c>
      <x:c r="B4" s="14" t="str">
        <x:v>값</x:v>
      </x:c>
      <x:c r="C4" s="1"/>
      <x:c r="D4" s="12" t="str">
        <x:v>완전성</x:v>
      </x:c>
      <x:c r="E4" s="14" t="str">
        <x:v>값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전체 요구사항</x:v>
      </x:c>
      <x:c r="B5" s="1" t="n">
        <x:f>COUNTA(Traceability!A6:A100)</x:f>
        <x:v>12</x:v>
      </x:c>
      <x:c r="C5" s="1"/>
      <x:c r="D5" s="1" t="str">
        <x:v>설계 연결</x:v>
      </x:c>
      <x:c r="E5" s="19" t="n">
        <x:f>COUNTA(Traceability!E6:E100)/B5</x:f>
        <x:v>1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Verified</x:v>
      </x:c>
      <x:c r="B6" s="1" t="n">
        <x:f>COUNTIF(Traceability!I6:I100,"Verified")</x:f>
        <x:v>0</x:v>
      </x:c>
      <x:c r="C6" s="1"/>
      <x:c r="D6" s="1" t="str">
        <x:v>ICD 연결</x:v>
      </x:c>
      <x:c r="E6" s="19" t="n">
        <x:f>COUNTA(Traceability!F6:F100)/B5</x:f>
        <x:v>1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Implemented</x:v>
      </x:c>
      <x:c r="B7" s="1" t="n">
        <x:f>COUNTIF(Traceability!I6:I100,"Implemented")</x:f>
        <x:v>0</x:v>
      </x:c>
      <x:c r="C7" s="1"/>
      <x:c r="D7" s="1" t="str">
        <x:v>시험 연결</x:v>
      </x:c>
      <x:c r="E7" s="19" t="n">
        <x:f>COUNTA(Traceability!G6:G100)/B5</x:f>
        <x:v>1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Approved</x:v>
      </x:c>
      <x:c r="B8" s="1" t="n">
        <x:f>COUNTIF(Traceability!I6:I100,"Approved")</x:f>
        <x:v>0</x:v>
      </x:c>
      <x:c r="C8" s="1"/>
      <x:c r="D8" s="1" t="str">
        <x:v>결과 증거 연결</x:v>
      </x:c>
      <x:c r="E8" s="19" t="n">
        <x:f>COUNTA(Traceability!H6:H100)/B5</x:f>
        <x:v>1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Draft</x:v>
      </x:c>
      <x:c r="B9" s="1" t="n">
        <x:f>COUNTIF(Traceability!I6:I100,"Draft")</x:f>
        <x:v>12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Blocked</x:v>
      </x:c>
      <x:c r="B10" s="1" t="n">
        <x:f>COUNTIF(Traceability!I6:I100,"Blocked")</x:f>
        <x:v>0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21" t="str">
        <x:v>사용 규칙</x:v>
      </x:c>
      <x:c r="B13" s="21" t="str"/>
      <x:c r="C13" s="21" t="str"/>
      <x:c r="D13" s="21" t="str"/>
      <x:c r="E13" s="21" t="str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8" customHeight="1">
      <x:c r="A14" s="22" t="str">
        <x:v>요구사항은 하나의 검증 가능한 shall 문장으로 유지하고 수치·조건·대상을 포함합니다.</x:v>
      </x:c>
      <x:c r="B14" s="22" t="str"/>
      <x:c r="C14" s="22" t="str"/>
      <x:c r="D14" s="22" t="str"/>
      <x:c r="E14" s="22" t="str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8" customHeight="1">
      <x:c r="A15" s="22" t="str">
        <x:v>Verified는 실제 시험 결과와 승인된 증거 경로가 있을 때만 선택합니다.</x:v>
      </x:c>
      <x:c r="B15" s="22" t="str"/>
      <x:c r="C15" s="22" t="str"/>
      <x:c r="D15" s="22" t="str"/>
      <x:c r="E15" s="22" t="str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FA6C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3" hidden="0" customWidth="1"/>
    <x:col min="3" max="3" width="48" hidden="0" customWidth="1"/>
    <x:col min="4" max="4" width="30" hidden="0" customWidth="1"/>
    <x:col min="5" max="5" width="30" hidden="0" customWidth="1"/>
    <x:col min="6" max="6" width="16" hidden="0" customWidth="1"/>
    <x:col min="7" max="7" width="16" hidden="0" customWidth="1"/>
    <x:col min="8" max="8" width="18" hidden="0" customWidth="1"/>
    <x:col min="9" max="9" width="14" hidden="0" customWidth="1"/>
    <x:col min="10" max="10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요구사항 추적 매트릭스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상태와 실제 증거 링크를 프로젝트 진행에 맞춰 갱신합니다.</x:v>
      </x:c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2" t="str">
        <x:v>요구사항 ID</x:v>
      </x:c>
      <x:c r="B5" s="13" t="str">
        <x:v>분류</x:v>
      </x:c>
      <x:c r="C5" s="13" t="str">
        <x:v>요구사항</x:v>
      </x:c>
      <x:c r="D5" s="13" t="str">
        <x:v>근거</x:v>
      </x:c>
      <x:c r="E5" s="13" t="str">
        <x:v>설계 요소</x:v>
      </x:c>
      <x:c r="F5" s="13" t="str">
        <x:v>ICD</x:v>
      </x:c>
      <x:c r="G5" s="13" t="str">
        <x:v>시험 ID</x:v>
      </x:c>
      <x:c r="H5" s="13" t="str">
        <x:v>결과 증거</x:v>
      </x:c>
      <x:c r="I5" s="13" t="str">
        <x:v>상태</x:v>
      </x:c>
      <x:c r="J5" s="14" t="str">
        <x:v>담당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42" customHeight="1">
      <x:c r="A6" s="16" t="str">
        <x:v>COM-001</x:v>
      </x:c>
      <x:c r="B6" s="16" t="str">
        <x:v>성능</x:v>
      </x:c>
      <x:c r="C6" s="18" t="str">
        <x:v>Critical telemetry를 생성 후 60초 안에 전달한다.</x:v>
      </x:c>
      <x:c r="D6" s="18" t="str">
        <x:v>운영 경보 지연</x:v>
      </x:c>
      <x:c r="E6" s="18" t="str">
        <x:v>우선순위 queue, DTN route</x:v>
      </x:c>
      <x:c r="F6" s="18" t="str">
        <x:v>ICD-NET-04</x:v>
      </x:c>
      <x:c r="G6" s="18" t="str">
        <x:v>TP-PERF-001</x:v>
      </x:c>
      <x:c r="H6" s="18" t="str">
        <x:v>VR-PERF-001</x:v>
      </x:c>
      <x:c r="I6" s="17" t="str">
        <x:v>Draft</x:v>
      </x:c>
      <x:c r="J6" s="16" t="str">
        <x:v>Network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42" customHeight="1">
      <x:c r="A7" s="16" t="str">
        <x:v>COM-002</x:v>
      </x:c>
      <x:c r="B7" s="16" t="str">
        <x:v>가용성</x:v>
      </x:c>
      <x:c r="C7" s="18" t="str">
        <x:v>단일 ISL 상실 시 10초 안에 대체 경로로 전환한다.</x:v>
      </x:c>
      <x:c r="D7" s="18" t="str">
        <x:v>단일 결함 허용</x:v>
      </x:c>
      <x:c r="E7" s="18" t="str">
        <x:v>RF/Optical failover</x:v>
      </x:c>
      <x:c r="F7" s="18" t="str">
        <x:v>ICD-NET-03</x:v>
      </x:c>
      <x:c r="G7" s="18" t="str">
        <x:v>TP-FO-001</x:v>
      </x:c>
      <x:c r="H7" s="18" t="str">
        <x:v>VR-FO-001</x:v>
      </x:c>
      <x:c r="I7" s="17" t="str">
        <x:v>Draft</x:v>
      </x:c>
      <x:c r="J7" s="16" t="str">
        <x:v>Network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42" customHeight="1">
      <x:c r="A8" s="16" t="str">
        <x:v>COM-003</x:v>
      </x:c>
      <x:c r="B8" s="16" t="str">
        <x:v>링크</x:v>
      </x:c>
      <x:c r="C8" s="18" t="str">
        <x:v>Worst-case 링크 마진은 3 dB 이상이어야 한다.</x:v>
      </x:c>
      <x:c r="D8" s="18" t="str">
        <x:v>환경·구현 불확실성</x:v>
      </x:c>
      <x:c r="E8" s="18" t="str">
        <x:v>RF link budget</x:v>
      </x:c>
      <x:c r="F8" s="18" t="str">
        <x:v>ICD-RF-01</x:v>
      </x:c>
      <x:c r="G8" s="18" t="str">
        <x:v>TP-RF-001</x:v>
      </x:c>
      <x:c r="H8" s="18" t="str">
        <x:v>VR-RF-001</x:v>
      </x:c>
      <x:c r="I8" s="17" t="str">
        <x:v>Draft</x:v>
      </x:c>
      <x:c r="J8" s="16" t="str">
        <x:v>RF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42" customHeight="1">
      <x:c r="A9" s="16" t="str">
        <x:v>COM-004</x:v>
      </x:c>
      <x:c r="B9" s="16" t="str">
        <x:v>데이터</x:v>
      </x:c>
      <x:c r="C9" s="18" t="str">
        <x:v>세 번의 연속 contact miss 동안 critical data를 보존한다.</x:v>
      </x:c>
      <x:c r="D9" s="18" t="str">
        <x:v>지상국/날씨 장애</x:v>
      </x:c>
      <x:c r="E9" s="18" t="str">
        <x:v>Persistent DTN store</x:v>
      </x:c>
      <x:c r="F9" s="18" t="str">
        <x:v>ICD-SW-05</x:v>
      </x:c>
      <x:c r="G9" s="18" t="str">
        <x:v>TP-BUF-001</x:v>
      </x:c>
      <x:c r="H9" s="18" t="str">
        <x:v>VR-BUF-001</x:v>
      </x:c>
      <x:c r="I9" s="17" t="str">
        <x:v>Draft</x:v>
      </x:c>
      <x:c r="J9" s="16" t="str">
        <x:v>Flight SW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42" customHeight="1">
      <x:c r="A10" s="16" t="str">
        <x:v>COM-005</x:v>
      </x:c>
      <x:c r="B10" s="16" t="str">
        <x:v>보안</x:v>
      </x:c>
      <x:c r="C10" s="18" t="str">
        <x:v>모든 telecommand는 실행 전에 출처와 freshness를 검증한다.</x:v>
      </x:c>
      <x:c r="D10" s="18" t="str">
        <x:v>spoof/replay 방지</x:v>
      </x:c>
      <x:c r="E10" s="18" t="str">
        <x:v>SDLS anti-replay</x:v>
      </x:c>
      <x:c r="F10" s="18" t="str">
        <x:v>ICD-SEC-01</x:v>
      </x:c>
      <x:c r="G10" s="18" t="str">
        <x:v>TP-SEC-001</x:v>
      </x:c>
      <x:c r="H10" s="18" t="str">
        <x:v>VR-SEC-001</x:v>
      </x:c>
      <x:c r="I10" s="17" t="str">
        <x:v>Draft</x:v>
      </x:c>
      <x:c r="J10" s="16" t="str">
        <x:v>Security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42" customHeight="1">
      <x:c r="A11" s="16" t="str">
        <x:v>COM-006</x:v>
      </x:c>
      <x:c r="B11" s="16" t="str">
        <x:v>상호운용</x:v>
      </x:c>
      <x:c r="C11" s="18" t="str">
        <x:v>Ground return frame은 합의한 SLE RAF version으로 제공한다.</x:v>
      </x:c>
      <x:c r="D11" s="18" t="str">
        <x:v>다중 지상국 지원</x:v>
      </x:c>
      <x:c r="E11" s="18" t="str">
        <x:v>SLE provider/user</x:v>
      </x:c>
      <x:c r="F11" s="18" t="str">
        <x:v>ICD-GS-02</x:v>
      </x:c>
      <x:c r="G11" s="18" t="str">
        <x:v>TP-SLE-001</x:v>
      </x:c>
      <x:c r="H11" s="18" t="str">
        <x:v>VR-SLE-001</x:v>
      </x:c>
      <x:c r="I11" s="17" t="str">
        <x:v>Draft</x:v>
      </x:c>
      <x:c r="J11" s="16" t="str">
        <x:v>Ground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2" customHeight="1">
      <x:c r="A12" s="16" t="str">
        <x:v>COM-007</x:v>
      </x:c>
      <x:c r="B12" s="16" t="str">
        <x:v>프로토콜</x:v>
      </x:c>
      <x:c r="C12" s="18" t="str">
        <x:v>중복 command ID는 재실행하지 않고 기존 결과를 반환한다.</x:v>
      </x:c>
      <x:c r="D12" s="18" t="str">
        <x:v>at-least-once 경로</x:v>
      </x:c>
      <x:c r="E12" s="18" t="str">
        <x:v>Execution journal</x:v>
      </x:c>
      <x:c r="F12" s="18" t="str">
        <x:v>ICD-SW-07</x:v>
      </x:c>
      <x:c r="G12" s="18" t="str">
        <x:v>TP-DUP-001</x:v>
      </x:c>
      <x:c r="H12" s="18" t="str">
        <x:v>VR-DUP-001</x:v>
      </x:c>
      <x:c r="I12" s="17" t="str">
        <x:v>Draft</x:v>
      </x:c>
      <x:c r="J12" s="16" t="str">
        <x:v>Flight SW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2" customHeight="1">
      <x:c r="A13" s="16" t="str">
        <x:v>COM-008</x:v>
      </x:c>
      <x:c r="B13" s="16" t="str">
        <x:v>실시간</x:v>
      </x:c>
      <x:c r="C13" s="18" t="str">
        <x:v>Radio IRQ ISR 실행시간은 50 microseconds 이하이다.</x:v>
      </x:c>
      <x:c r="D13" s="18" t="str">
        <x:v>RTOS deadline</x:v>
      </x:c>
      <x:c r="E13" s="18" t="str">
        <x:v>ISR defer-to-task</x:v>
      </x:c>
      <x:c r="F13" s="18" t="str">
        <x:v>ICD-HW-03</x:v>
      </x:c>
      <x:c r="G13" s="18" t="str">
        <x:v>TP-RT-001</x:v>
      </x:c>
      <x:c r="H13" s="18" t="str">
        <x:v>VR-RT-001</x:v>
      </x:c>
      <x:c r="I13" s="17" t="str">
        <x:v>Draft</x:v>
      </x:c>
      <x:c r="J13" s="16" t="str">
        <x:v>Embedded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42" customHeight="1">
      <x:c r="A14" s="16" t="str">
        <x:v>COM-009</x:v>
      </x:c>
      <x:c r="B14" s="16" t="str">
        <x:v>품질</x:v>
      </x:c>
      <x:c r="C14" s="18" t="str">
        <x:v>Flight C code의 required MISRA deviation은 승인 기록을 가진다.</x:v>
      </x:c>
      <x:c r="D14" s="18" t="str">
        <x:v>안전성</x:v>
      </x:c>
      <x:c r="E14" s="18" t="str">
        <x:v>Static analysis pipeline</x:v>
      </x:c>
      <x:c r="F14" s="18" t="str">
        <x:v>ICD-SW-09</x:v>
      </x:c>
      <x:c r="G14" s="18" t="str">
        <x:v>TP-SA-001</x:v>
      </x:c>
      <x:c r="H14" s="18" t="str">
        <x:v>VR-SA-001</x:v>
      </x:c>
      <x:c r="I14" s="17" t="str">
        <x:v>Draft</x:v>
      </x:c>
      <x:c r="J14" s="16" t="str">
        <x:v>Quality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42" customHeight="1">
      <x:c r="A15" s="16" t="str">
        <x:v>COM-010</x:v>
      </x:c>
      <x:c r="B15" s="16" t="str">
        <x:v>공급망</x:v>
      </x:c>
      <x:c r="C15" s="18" t="str">
        <x:v>Release마다 SBOM과 dependency digest를 생성한다.</x:v>
      </x:c>
      <x:c r="D15" s="18" t="str">
        <x:v>OSS provenance</x:v>
      </x:c>
      <x:c r="E15" s="18" t="str">
        <x:v>CI release pipeline</x:v>
      </x:c>
      <x:c r="F15" s="18" t="str">
        <x:v>ICD-SW-10</x:v>
      </x:c>
      <x:c r="G15" s="18" t="str">
        <x:v>TP-SCA-001</x:v>
      </x:c>
      <x:c r="H15" s="18" t="str">
        <x:v>VR-SCA-001</x:v>
      </x:c>
      <x:c r="I15" s="17" t="str">
        <x:v>Draft</x:v>
      </x:c>
      <x:c r="J15" s="16" t="str">
        <x:v>Security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42" customHeight="1">
      <x:c r="A16" s="16" t="str">
        <x:v>COM-011</x:v>
      </x:c>
      <x:c r="B16" s="16" t="str">
        <x:v>복구</x:v>
      </x:c>
      <x:c r="C16" s="18" t="str">
        <x:v>Reset 후 replay counter가 rollback되지 않는다.</x:v>
      </x:c>
      <x:c r="D16" s="18" t="str">
        <x:v>command freshness</x:v>
      </x:c>
      <x:c r="E16" s="18" t="str">
        <x:v>Protected monotonic state</x:v>
      </x:c>
      <x:c r="F16" s="18" t="str">
        <x:v>ICD-SEC-03</x:v>
      </x:c>
      <x:c r="G16" s="18" t="str">
        <x:v>TP-RST-001</x:v>
      </x:c>
      <x:c r="H16" s="18" t="str">
        <x:v>VR-RST-001</x:v>
      </x:c>
      <x:c r="I16" s="17" t="str">
        <x:v>Draft</x:v>
      </x:c>
      <x:c r="J16" s="16" t="str">
        <x:v>Security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42" customHeight="1">
      <x:c r="A17" s="16" t="str">
        <x:v>COM-012</x:v>
      </x:c>
      <x:c r="B17" s="16" t="str">
        <x:v>운영</x:v>
      </x:c>
      <x:c r="C17" s="18" t="str">
        <x:v>Failover와 failback을 분기마다 실제 경로로 시험한다.</x:v>
      </x:c>
      <x:c r="D17" s="18" t="str">
        <x:v>잠복 장애 방지</x:v>
      </x:c>
      <x:c r="E17" s="18" t="str">
        <x:v>Operations runbook</x:v>
      </x:c>
      <x:c r="F17" s="18" t="str">
        <x:v>ICD-OPS-01</x:v>
      </x:c>
      <x:c r="G17" s="18" t="str">
        <x:v>TP-OPS-001</x:v>
      </x:c>
      <x:c r="H17" s="18" t="str">
        <x:v>VR-OPS-001</x:v>
      </x:c>
      <x:c r="I17" s="17" t="str">
        <x:v>Draft</x:v>
      </x:c>
      <x:c r="J17" s="16" t="str">
        <x:v>Operations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conditionalFormatting sqref="I6:I17">
    <x:cfRule type="containsText" dxfId="0" priority="1" operator="containsText" text="Blocked"/>
    <x:cfRule type="containsText" dxfId="1" priority="2" operator="containsText" text="Verified"/>
  </x:conditionalFormatting>
  <x:dataValidations count="1">
    <x:dataValidation type="list" sqref="I6:I100">
      <x:formula1>"Draft,Approved,Implemented,Verified,Blocked"</x:formula1>
    </x:dataValidation>
  </x:dataValidations>
  <x:pageMargins left="0.7" right="0.7" top="0.75" bottom="0.75" header="0.3" footer="0.3"/>
</x:worksheet>
</file>